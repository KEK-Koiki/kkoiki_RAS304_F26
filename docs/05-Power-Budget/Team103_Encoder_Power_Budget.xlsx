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a49cf2536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coder power" sheetId="1" r:id="R8b788c7e6026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b/>
      <x:sz val="11"/>
      <x:color rgb="FF142C3C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C3C"/>
      </x:patternFill>
    </x:fill>
    <x:fill>
      <x:patternFill patternType="solid">
        <x:fgColor rgb="FFFFF1CD"/>
      </x:patternFill>
    </x:fill>
    <x:fill>
      <x:patternFill patternType="solid">
        <x:fgColor rgb="FFE3EE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38080bcbd4870" /><Relationship Type="http://schemas.openxmlformats.org/officeDocument/2006/relationships/theme" Target="/xl/theme/theme1.xml" Id="R841f5758555c4bd5" /><Relationship Type="http://schemas.openxmlformats.org/officeDocument/2006/relationships/sharedStrings" Target="/xl/sharedStrings.xml" Id="R018744e34f254245" /><Relationship Type="http://schemas.openxmlformats.org/officeDocument/2006/relationships/worksheet" Target="/xl/worksheets/sheet1.xml" Id="R8b788c7e602642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9" hidden="0" customWidth="1"/>
    <x:col min="4" max="4" width="19" hidden="0" customWidth="1"/>
    <x:col min="5" max="5" width="19" hidden="0" customWidth="1"/>
    <x:col min="6" max="6" width="78" hidden="0" customWidth="1"/>
  </x:cols>
  <x:sheetData>
    <x:row r="1" ht="34" customHeight="1">
      <x:c r="A1" s="4" t="str">
        <x:v>TEAM 103 / ENCODER POWER BUDGET</x:v>
      </x:c>
      <x:c r="B1" s="4"/>
      <x:c r="C1" s="4"/>
      <x:c r="D1" s="4"/>
      <x:c r="E1" s="4"/>
      <x:c r="F1" s="4"/>
    </x:row>
    <x:row r="2" ht="25" customHeight="1">
      <x:c r="A2" s="2" t="str">
        <x:v>Elijah Koiki / RAS304 / 28 October 2026</x:v>
      </x:c>
      <x:c r="B2" s="2"/>
      <x:c r="C2" s="2"/>
      <x:c r="D2" s="2"/>
      <x:c r="E2" s="2"/>
      <x:c r="F2" s="2"/>
    </x:row>
    <x:row r="3" ht="25" customHeight="1">
      <x:c r="A3" s="5" t="str">
        <x:v>PRELIMINARY: planning allowances; not measured or verified worst-case currents.</x:v>
      </x:c>
      <x:c r="B3" s="5"/>
      <x:c r="C3" s="5"/>
      <x:c r="D3" s="5"/>
      <x:c r="E3" s="5"/>
      <x:c r="F3" s="5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7" t="str">
        <x:v>A. Active and supporting loads / all assigned to +5 V rail</x:v>
      </x:c>
      <x:c r="B5" s="7"/>
      <x:c r="C5" s="7"/>
      <x:c r="D5" s="7"/>
      <x:c r="E5" s="7"/>
      <x:c r="F5" s="7"/>
    </x:row>
    <x:row r="6" ht="38" customHeight="1">
      <x:c r="A6" s="9" t="str">
        <x:v>Load</x:v>
      </x:c>
      <x:c r="B6" s="9" t="str">
        <x:v>Quantity</x:v>
      </x:c>
      <x:c r="C6" s="9" t="str">
        <x:v>Unit current (mA)</x:v>
      </x:c>
      <x:c r="D6" s="9" t="str">
        <x:v>Total current (mA)</x:v>
      </x:c>
      <x:c r="E6" s="9" t="str">
        <x:v>Rail (V)</x:v>
      </x:c>
      <x:c r="F6" s="9" t="str">
        <x:v>Basis / source</x:v>
      </x:c>
    </x:row>
    <x:row r="7" ht="35" customHeight="1">
      <x:c r="A7" s="2" t="str">
        <x:v>Nano board + MCU</x:v>
      </x:c>
      <x:c r="B7" s="5" t="n">
        <x:v>1</x:v>
      </x:c>
      <x:c r="C7" s="10" t="n">
        <x:v>100</x:v>
      </x:c>
      <x:c r="D7" s="11" t="n">
        <x:f>B7*C7</x:f>
        <x:v>100</x:v>
      </x:c>
      <x:c r="E7" s="11" t="n">
        <x:v>5</x:v>
      </x:c>
      <x:c r="F7" s="12" t="str">
        <x:v>Planning allowance; actual firmware/debugger load unmeasured</x:v>
      </x:c>
    </x:row>
    <x:row r="8" ht="35" customHeight="1">
      <x:c r="A8" s="2" t="str">
        <x:v>TCST2103 emitters</x:v>
      </x:c>
      <x:c r="B8" s="5" t="n">
        <x:v>4</x:v>
      </x:c>
      <x:c r="C8" s="10" t="n">
        <x:v>17.045454545454543</x:v>
      </x:c>
      <x:c r="D8" s="11" t="n">
        <x:f>B8*C8</x:f>
        <x:v>68.18181818181817</x:v>
      </x:c>
      <x:c r="E8" s="11" t="n">
        <x:v>5</x:v>
      </x:c>
      <x:c r="F8" s="12" t="str">
        <x:v>Calculated nominal, 220 ohm / 1.25 V assumed LED drop</x:v>
      </x:c>
    </x:row>
    <x:row r="9" ht="35" customHeight="1">
      <x:c r="A9" s="2" t="str">
        <x:v>Collector pull-ups</x:v>
      </x:c>
      <x:c r="B9" s="5" t="n">
        <x:v>4</x:v>
      </x:c>
      <x:c r="C9" s="10" t="n">
        <x:v>1.0638297872340425</x:v>
      </x:c>
      <x:c r="D9" s="11" t="n">
        <x:f>B9*C9</x:f>
        <x:v>4.25531914893617</x:v>
      </x:c>
      <x:c r="E9" s="11" t="n">
        <x:v>5</x:v>
      </x:c>
      <x:c r="F9" s="12" t="str">
        <x:v>All four raw nodes low; conservative pull-up bound</x:v>
      </x:c>
    </x:row>
    <x:row r="10" ht="35" customHeight="1">
      <x:c r="A10" s="2" t="str">
        <x:v>MCP6004 + feedback</x:v>
      </x:c>
      <x:c r="B10" s="5" t="n">
        <x:v>1</x:v>
      </x:c>
      <x:c r="C10" s="10" t="n">
        <x:v>2</x:v>
      </x:c>
      <x:c r="D10" s="11" t="n">
        <x:f>B10*C10</x:f>
        <x:v>2</x:v>
      </x:c>
      <x:c r="E10" s="11" t="n">
        <x:v>5</x:v>
      </x:c>
      <x:c r="F10" s="12" t="str">
        <x:v>Planning allowance including output/feedback loading</x:v>
      </x:c>
    </x:row>
    <x:row r="11" ht="35" customHeight="1">
      <x:c r="A11" s="2" t="str">
        <x:v>SN74HC14</x:v>
      </x:c>
      <x:c r="B11" s="5" t="n">
        <x:v>1</x:v>
      </x:c>
      <x:c r="C11" s="10" t="n">
        <x:v>5</x:v>
      </x:c>
      <x:c r="D11" s="11" t="n">
        <x:f>B11*C11</x:f>
        <x:v>5</x:v>
      </x:c>
      <x:c r="E11" s="11" t="n">
        <x:v>5</x:v>
      </x:c>
      <x:c r="F11" s="12" t="str">
        <x:v>Planning allowance; depends on input edges and frequency</x:v>
      </x:c>
    </x:row>
    <x:row r="12" ht="35" customHeight="1">
      <x:c r="A12" s="2" t="str">
        <x:v>Power + debug LEDs</x:v>
      </x:c>
      <x:c r="B12" s="5" t="n">
        <x:v>2</x:v>
      </x:c>
      <x:c r="C12" s="10" t="n">
        <x:v>3</x:v>
      </x:c>
      <x:c r="D12" s="11" t="n">
        <x:f>B12*C12</x:f>
        <x:v>6</x:v>
      </x:c>
      <x:c r="E12" s="11" t="n">
        <x:v>5</x:v>
      </x:c>
      <x:c r="F12" s="12" t="str">
        <x:v>Planning allowance, 1k series resistors</x:v>
      </x:c>
    </x:row>
    <x:row r="13" ht="35" customHeight="1">
      <x:c r="A13" s="2" t="str">
        <x:v>Debug pull-up</x:v>
      </x:c>
      <x:c r="B13" s="5" t="n">
        <x:v>1</x:v>
      </x:c>
      <x:c r="C13" s="10" t="n">
        <x:v>0.5</x:v>
      </x:c>
      <x:c r="D13" s="11" t="n">
        <x:f>B13*C13</x:f>
        <x:v>0.5</x:v>
      </x:c>
      <x:c r="E13" s="11" t="n">
        <x:v>5</x:v>
      </x:c>
      <x:c r="F13" s="12" t="str">
        <x:v>Button held low, 10k at 5 V</x:v>
      </x:c>
    </x:row>
    <x:row r="14" ht="25" customHeight="1">
      <x:c r="A14" s="2"/>
      <x:c r="B14" s="2"/>
      <x:c r="C14" s="11"/>
      <x:c r="D14" s="11"/>
      <x:c r="E14" s="11"/>
      <x:c r="F14" s="2"/>
    </x:row>
    <x:row r="15" ht="25" customHeight="1">
      <x:c r="A15" s="7" t="str">
        <x:v>B. Rail current with safety margin</x:v>
      </x:c>
      <x:c r="B15" s="7"/>
      <x:c r="C15" s="14"/>
      <x:c r="D15" s="14"/>
      <x:c r="E15" s="14"/>
      <x:c r="F15" s="7"/>
    </x:row>
    <x:row r="16" ht="25" customHeight="1">
      <x:c r="A16" s="2" t="str">
        <x:v>Subtotal current (mA)</x:v>
      </x:c>
      <x:c r="B16" s="2"/>
      <x:c r="C16" s="11"/>
      <x:c r="D16" s="11" t="n">
        <x:f>SUM(D7:D13)</x:f>
        <x:v>185.93713733075435</x:v>
      </x:c>
      <x:c r="E16" s="11"/>
      <x:c r="F16" s="2"/>
    </x:row>
    <x:row r="17" ht="25" customHeight="1">
      <x:c r="A17" s="2" t="str">
        <x:v>Safety margin</x:v>
      </x:c>
      <x:c r="B17" s="2"/>
      <x:c r="C17" s="11"/>
      <x:c r="D17" s="16" t="n">
        <x:v>0.25</x:v>
      </x:c>
      <x:c r="E17" s="11"/>
      <x:c r="F17" s="2"/>
    </x:row>
    <x:row r="18" ht="25" customHeight="1">
      <x:c r="A18" s="2" t="str">
        <x:v>Required +5 V current (mA)</x:v>
      </x:c>
      <x:c r="B18" s="2"/>
      <x:c r="C18" s="11"/>
      <x:c r="D18" s="11" t="n">
        <x:f>D16*(1+D17)</x:f>
        <x:v>232.42142166344294</x:v>
      </x:c>
      <x:c r="E18" s="11"/>
      <x:c r="F18" s="2"/>
    </x:row>
    <x:row r="19" ht="25" customHeight="1">
      <x:c r="A19" s="2" t="str">
        <x:v>+5 V output power (W)</x:v>
      </x:c>
      <x:c r="B19" s="2"/>
      <x:c r="C19" s="11"/>
      <x:c r="D19" s="11" t="n">
        <x:f>D18*5/1000</x:f>
        <x:v>1.1621071083172145</x:v>
      </x:c>
      <x:c r="E19" s="11"/>
      <x:c r="F19" s="2"/>
    </x:row>
    <x:row r="20" ht="25" customHeight="1">
      <x:c r="A20" s="2"/>
      <x:c r="B20" s="2"/>
      <x:c r="C20" s="11"/>
      <x:c r="D20" s="11"/>
      <x:c r="E20" s="11"/>
      <x:c r="F20" s="2"/>
    </x:row>
    <x:row r="21" ht="25" customHeight="1">
      <x:c r="A21" s="7" t="str">
        <x:v>C. L7805 linear-regulator thermal estimate</x:v>
      </x:c>
      <x:c r="B21" s="7"/>
      <x:c r="C21" s="14"/>
      <x:c r="D21" s="14"/>
      <x:c r="E21" s="14"/>
      <x:c r="F21" s="7"/>
    </x:row>
    <x:row r="22" ht="25" customHeight="1">
      <x:c r="A22" s="2" t="str">
        <x:v>Input voltage (V)</x:v>
      </x:c>
      <x:c r="B22" s="5" t="n">
        <x:v>9</x:v>
      </x:c>
      <x:c r="C22" s="11"/>
      <x:c r="D22" s="11"/>
      <x:c r="E22" s="11"/>
      <x:c r="F22" s="2" t="str">
        <x:v>9 V PRD input; 12 V allowed by schematic, subject to thermal verification</x:v>
      </x:c>
    </x:row>
    <x:row r="23" ht="25" customHeight="1">
      <x:c r="A23" s="2" t="str">
        <x:v>Regulator loss (W)</x:v>
      </x:c>
      <x:c r="B23" s="2"/>
      <x:c r="C23" s="11"/>
      <x:c r="D23" s="11" t="n">
        <x:f>(B22-5)*D18/1000</x:f>
        <x:v>0.9296856866537717</x:v>
      </x:c>
      <x:c r="E23" s="11"/>
      <x:c r="F23" s="2" t="str">
        <x:v>Excludes regulator ground current and heatsink/ambient effects.</x:v>
      </x:c>
    </x:row>
    <x:row r="24" ht="25" customHeight="1">
      <x:c r="A24" s="2"/>
      <x:c r="B24" s="2"/>
      <x:c r="C24" s="2"/>
      <x:c r="D24" s="2"/>
      <x:c r="E24" s="2"/>
      <x:c r="F24" s="2"/>
    </x:row>
    <x:row r="25" ht="25" customHeight="1">
      <x:c r="A25" s="7" t="str">
        <x:v>D. External source and remaining capacity</x:v>
      </x:c>
      <x:c r="B25" s="7"/>
      <x:c r="C25" s="7"/>
      <x:c r="D25" s="7"/>
      <x:c r="E25" s="7"/>
      <x:c r="F25" s="7"/>
    </x:row>
    <x:row r="26" ht="25" customHeight="1">
      <x:c r="A26" s="2" t="str">
        <x:v>Adapter model</x:v>
      </x:c>
      <x:c r="B26" s="2" t="str">
        <x:v>Unselected</x:v>
      </x:c>
      <x:c r="C26" s="2"/>
      <x:c r="D26" s="2"/>
      <x:c r="E26" s="2"/>
      <x:c r="F26" s="2" t="str">
        <x:v>9 V wall supply in PRD; current-limited bench supply for bring-up</x:v>
      </x:c>
    </x:row>
    <x:row r="27" ht="25" customHeight="1">
      <x:c r="A27" s="2" t="str">
        <x:v>Source capacity (mA)</x:v>
      </x:c>
      <x:c r="B27" s="5"/>
      <x:c r="C27" s="2"/>
      <x:c r="D27" s="2"/>
      <x:c r="E27" s="2"/>
      <x:c r="F27" s="2" t="str">
        <x:v>Missing: exact adapter continuous current rating</x:v>
      </x:c>
    </x:row>
    <x:row r="28" ht="25" customHeight="1">
      <x:c r="A28" s="2" t="str">
        <x:v>Regulator ground current (mA)</x:v>
      </x:c>
      <x:c r="B28" s="5"/>
      <x:c r="C28" s="2"/>
      <x:c r="D28" s="2"/>
      <x:c r="E28" s="2"/>
      <x:c r="F28" s="2" t="str">
        <x:v>Missing: verified operating/worst-case ground current</x:v>
      </x:c>
    </x:row>
    <x:row r="29" ht="25" customHeight="1">
      <x:c r="A29" s="2" t="str">
        <x:v>Remaining capacity (mA)</x:v>
      </x:c>
      <x:c r="B29" s="2"/>
      <x:c r="C29" s="2"/>
      <x:c r="D29" s="2" t="str">
        <x:f>IF(AND(ISNUMBER(B27),ISNUMBER(B28)),B27-D18-B28,"Unavailable")</x:f>
        <x:v>Unavailable</x:v>
      </x:c>
      <x:c r="E29" s="2"/>
      <x:c r="F29" s="2" t="str">
        <x:v>Unavailable until BOTH inputs above are entered.</x:v>
      </x:c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7" t="str">
        <x:v>E. Battery runtime</x:v>
      </x:c>
      <x:c r="B31" s="7"/>
      <x:c r="C31" s="7"/>
      <x:c r="D31" s="7"/>
      <x:c r="E31" s="7"/>
      <x:c r="F31" s="7"/>
    </x:row>
    <x:row r="32" ht="25" customHeight="1">
      <x:c r="A32" s="2" t="str">
        <x:v>Not applicable: wall-powered concept.</x:v>
      </x:c>
      <x:c r="B32" s="2"/>
      <x:c r="C32" s="2"/>
      <x:c r="D32" s="2"/>
      <x:c r="E32" s="2"/>
      <x:c r="F32" s="2"/>
    </x:row>
    <x:row r="33" ht="25" customHeight="1">
      <x:c r="A33" s="2"/>
      <x:c r="B33" s="2"/>
      <x:c r="C33" s="2"/>
      <x:c r="D33" s="2"/>
      <x:c r="E33" s="2"/>
      <x:c r="F33" s="2"/>
    </x:row>
    <x:row r="34" ht="25" customHeight="1">
      <x:c r="A34" s="7" t="str">
        <x:v>Assumptions and review</x:v>
      </x:c>
      <x:c r="B34" s="7"/>
      <x:c r="C34" s="7"/>
      <x:c r="D34" s="7"/>
      <x:c r="E34" s="7"/>
      <x:c r="F34" s="7"/>
    </x:row>
    <x:row r="35" ht="25" customHeight="1">
      <x:c r="A35" s="2" t="str">
        <x:v>Amber cells are editable inputs. Leave missing source inputs blank; do not enter zero for unknown.</x:v>
      </x:c>
      <x:c r="B35" s="2"/>
      <x:c r="C35" s="2"/>
      <x:c r="D35" s="2"/>
      <x:c r="E35" s="2"/>
      <x:c r="F35" s="2"/>
    </x:row>
    <x:row r="36" ht="25" customHeight="1">
      <x:c r="A36" s="2" t="str">
        <x:v>Emitter current uses (5 V - 1.25 V) / 220 ohm; verify actual LED forward voltage and current.</x:v>
      </x:c>
      <x:c r="B36" s="2"/>
      <x:c r="C36" s="2"/>
      <x:c r="D36" s="2"/>
      <x:c r="E36" s="2"/>
      <x:c r="F36" s="2"/>
    </x:row>
    <x:row r="37" ht="25" customHeight="1">
      <x:c r="A37" s="2" t="str">
        <x:v>Replace Nano/op-amp/logic allowances with verified loaded operating currents before final approval.</x:v>
      </x:c>
      <x:c r="B37" s="2"/>
      <x:c r="C37" s="2"/>
      <x:c r="D37" s="2"/>
      <x:c r="E37" s="2"/>
      <x:c r="F37" s="2"/>
    </x:row>
    <x:row r="38" ht="25" customHeight="1">
      <x:c r="A38" s="2" t="str">
        <x:v>Basis: Revision B schematic and REVIEW_AND_TESTS.txt; primary datasheets linked on the website.</x:v>
      </x:c>
      <x:c r="B38" s="2"/>
      <x:c r="C38" s="2"/>
      <x:c r="D38" s="2"/>
      <x:c r="E38" s="2"/>
      <x:c r="F38" s="2"/>
    </x:row>
  </x:sheetData>
  <x:pageMargins left="0.7" right="0.7" top="0.75" bottom="0.75" header="0.3" footer="0.3"/>
</x:worksheet>
</file>